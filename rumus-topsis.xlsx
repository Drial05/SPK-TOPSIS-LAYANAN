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i Alpian\Program\metode-algoritma\"/>
    </mc:Choice>
  </mc:AlternateContent>
  <xr:revisionPtr revIDLastSave="0" documentId="13_ncr:1_{09434AAD-E676-4438-86A5-5FE779524E9F}" xr6:coauthVersionLast="47" xr6:coauthVersionMax="47" xr10:uidLastSave="{00000000-0000-0000-0000-000000000000}"/>
  <bookViews>
    <workbookView xWindow="-110" yWindow="-110" windowWidth="19420" windowHeight="11500" activeTab="1" xr2:uid="{5F3EE7F2-3250-4BE2-A15A-CDB2B0BC1BA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5" i="1" s="1"/>
  <c r="B21" i="1" s="1"/>
  <c r="B40" i="2"/>
  <c r="B28" i="2"/>
  <c r="B29" i="2" s="1"/>
  <c r="B35" i="2" s="1"/>
  <c r="E28" i="2"/>
  <c r="E30" i="2" s="1"/>
  <c r="E36" i="2" s="1"/>
  <c r="D28" i="2"/>
  <c r="D30" i="2" s="1"/>
  <c r="D36" i="2" s="1"/>
  <c r="C28" i="2"/>
  <c r="C32" i="2" s="1"/>
  <c r="C38" i="2" s="1"/>
  <c r="C27" i="1"/>
  <c r="D27" i="1"/>
  <c r="E27" i="1"/>
  <c r="F27" i="1"/>
  <c r="C25" i="1"/>
  <c r="D25" i="1"/>
  <c r="E25" i="1"/>
  <c r="F25" i="1"/>
  <c r="F21" i="1"/>
  <c r="F22" i="1"/>
  <c r="F23" i="1"/>
  <c r="F20" i="1"/>
  <c r="E21" i="1"/>
  <c r="E22" i="1"/>
  <c r="E23" i="1"/>
  <c r="E20" i="1"/>
  <c r="D21" i="1"/>
  <c r="D22" i="1"/>
  <c r="D23" i="1"/>
  <c r="D20" i="1"/>
  <c r="C20" i="1"/>
  <c r="C21" i="1"/>
  <c r="C22" i="1"/>
  <c r="C23" i="1"/>
  <c r="F16" i="1"/>
  <c r="D15" i="1"/>
  <c r="D16" i="1"/>
  <c r="C14" i="1"/>
  <c r="C13" i="1"/>
  <c r="C17" i="1" s="1"/>
  <c r="D13" i="1"/>
  <c r="D17" i="1" s="1"/>
  <c r="E13" i="1"/>
  <c r="E17" i="1" s="1"/>
  <c r="F13" i="1"/>
  <c r="F17" i="1" s="1"/>
  <c r="B17" i="1" l="1"/>
  <c r="B23" i="1" s="1"/>
  <c r="B16" i="1"/>
  <c r="B22" i="1" s="1"/>
  <c r="B31" i="2"/>
  <c r="B37" i="2" s="1"/>
  <c r="E31" i="2"/>
  <c r="E37" i="2" s="1"/>
  <c r="C29" i="2"/>
  <c r="C35" i="2" s="1"/>
  <c r="D32" i="2"/>
  <c r="D38" i="2" s="1"/>
  <c r="C31" i="2"/>
  <c r="C37" i="2" s="1"/>
  <c r="D29" i="2"/>
  <c r="D35" i="2" s="1"/>
  <c r="E32" i="2"/>
  <c r="E38" i="2" s="1"/>
  <c r="E29" i="2"/>
  <c r="E35" i="2" s="1"/>
  <c r="E40" i="2" s="1"/>
  <c r="B30" i="2"/>
  <c r="B36" i="2" s="1"/>
  <c r="D31" i="2"/>
  <c r="D37" i="2" s="1"/>
  <c r="C30" i="2"/>
  <c r="C36" i="2" s="1"/>
  <c r="B32" i="2"/>
  <c r="B38" i="2" s="1"/>
  <c r="F15" i="1"/>
  <c r="E14" i="1"/>
  <c r="C16" i="1"/>
  <c r="E16" i="1"/>
  <c r="C15" i="1"/>
  <c r="E15" i="1"/>
  <c r="B14" i="1"/>
  <c r="B20" i="1" s="1"/>
  <c r="D14" i="1"/>
  <c r="F14" i="1"/>
  <c r="B25" i="1" l="1"/>
  <c r="B27" i="1"/>
  <c r="E31" i="1" s="1"/>
  <c r="D42" i="2"/>
  <c r="D40" i="2"/>
  <c r="C42" i="2"/>
  <c r="E42" i="2"/>
  <c r="C40" i="2"/>
  <c r="B42" i="2"/>
  <c r="E30" i="1" l="1"/>
  <c r="C31" i="1"/>
  <c r="C37" i="1" s="1"/>
  <c r="C32" i="1"/>
  <c r="C33" i="1"/>
  <c r="C30" i="1"/>
  <c r="E32" i="1"/>
  <c r="E33" i="1"/>
  <c r="C47" i="2"/>
  <c r="C45" i="2"/>
  <c r="C51" i="2" s="1"/>
  <c r="E45" i="2"/>
  <c r="E46" i="2"/>
  <c r="E47" i="2"/>
  <c r="C48" i="2"/>
  <c r="E48" i="2"/>
  <c r="C46" i="2"/>
  <c r="C36" i="1" l="1"/>
  <c r="C39" i="1"/>
  <c r="D39" i="1" s="1"/>
  <c r="C38" i="1"/>
  <c r="D38" i="1" s="1"/>
  <c r="C53" i="2"/>
  <c r="C52" i="2"/>
  <c r="C54" i="2"/>
  <c r="D36" i="1" l="1"/>
  <c r="D37" i="1"/>
  <c r="D54" i="2"/>
  <c r="D51" i="2"/>
  <c r="D53" i="2"/>
  <c r="D52" i="2"/>
</calcChain>
</file>

<file path=xl/sharedStrings.xml><?xml version="1.0" encoding="utf-8"?>
<sst xmlns="http://schemas.openxmlformats.org/spreadsheetml/2006/main" count="94" uniqueCount="52">
  <si>
    <t>Perhitungan TOPSIS</t>
  </si>
  <si>
    <t>Alternative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</si>
  <si>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</si>
  <si>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</si>
  <si>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</si>
  <si>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</si>
  <si>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</si>
  <si>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</si>
  <si>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</si>
  <si>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</si>
  <si>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</si>
  <si>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Kriteria</t>
  </si>
  <si>
    <t>C5</t>
  </si>
  <si>
    <t>COST</t>
  </si>
  <si>
    <t>BENEFIT</t>
  </si>
  <si>
    <t>BOBOT</t>
  </si>
  <si>
    <t>Membuat matrik ternormalisasi</t>
  </si>
  <si>
    <t>Pembagi</t>
  </si>
  <si>
    <t>Membuat matrik ternormalisasi (Y)</t>
  </si>
  <si>
    <t>R</t>
  </si>
  <si>
    <t>Y</t>
  </si>
  <si>
    <t>Solusi Ideal Positif</t>
  </si>
  <si>
    <t>A+</t>
  </si>
  <si>
    <t>Solusi Ideal Negatif</t>
  </si>
  <si>
    <t>A-</t>
  </si>
  <si>
    <t>Jarak antara nilai terbobot THP solusi Ideal Positif dan negatif</t>
  </si>
  <si>
    <t>D1+</t>
  </si>
  <si>
    <t>D2+</t>
  </si>
  <si>
    <t>D3+</t>
  </si>
  <si>
    <t>D4+</t>
  </si>
  <si>
    <t>D1-</t>
  </si>
  <si>
    <t>D2-</t>
  </si>
  <si>
    <t>D3-</t>
  </si>
  <si>
    <t>D4-</t>
  </si>
  <si>
    <t>Nilai Preferensi</t>
  </si>
  <si>
    <t>V1</t>
  </si>
  <si>
    <t>V2</t>
  </si>
  <si>
    <t>V3</t>
  </si>
  <si>
    <t>V4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</si>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</sst>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/>
    <xf numFmtId="0" fontId="0" fillId="4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0" fontId="0" fillId="8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9339-6F84-4FC2-B6C7-98DF057E57DA}">
  <dimension ref="A1:F39"/>
  <sheetViews>
    <sheetView workbookViewId="0">
      <selection activeCell="F13" sqref="F13"/>
    </sheetView>
  </sheetViews>
  <sheetFormatPr defaultRowHeight="14.5" x14ac:dyDescent="0.35"/>
  <cols>
    <col min="1" max="1" width="16.54296875" customWidth="1"/>
    <col min="2" max="2" width="10.7265625" customWidth="1"/>
    <col min="3" max="3" width="8.6328125" customWidth="1"/>
    <col min="4" max="4" width="10.7265625" customWidth="1"/>
    <col min="5" max="5" width="7.6328125" customWidth="1"/>
    <col min="6" max="6" width="7.90625" customWidth="1"/>
  </cols>
  <sheetData>
    <row r="1" spans="1:6" x14ac:dyDescent="0.35">
      <c r="A1" s="5" t="s">
        <v>0</v>
      </c>
      <c r="B1" s="5"/>
      <c r="C1" s="5"/>
      <c r="D1" s="5"/>
      <c r="E1" s="5"/>
      <c r="F1" s="5"/>
    </row>
    <row r="3" spans="1:6" x14ac:dyDescent="0.35">
      <c r="A3" s="4" t="s">
        <v>1</v>
      </c>
      <c r="B3" s="2" t="s">
        <v>11</v>
      </c>
      <c r="C3" s="2"/>
      <c r="D3" s="2"/>
      <c r="E3" s="2"/>
      <c r="F3" s="2"/>
    </row>
    <row r="4" spans="1:6" x14ac:dyDescent="0.35">
      <c r="A4" s="4"/>
      <c r="B4" s="1" t="s">
        <v>7</v>
      </c>
      <c r="C4" s="1" t="s">
        <v>8</v>
      </c>
      <c r="D4" s="1" t="s">
        <v>9</v>
      </c>
      <c r="E4" s="1" t="s">
        <v>10</v>
      </c>
      <c r="F4" s="1" t="s">
        <v>12</v>
      </c>
    </row>
    <row r="5" spans="1:6" x14ac:dyDescent="0.35">
      <c r="A5" s="1" t="s">
        <v>2</v>
      </c>
      <c r="B5" s="1">
        <v>420</v>
      </c>
      <c r="C5" s="1">
        <v>75</v>
      </c>
      <c r="D5" s="1">
        <v>3</v>
      </c>
      <c r="E5" s="1">
        <v>1</v>
      </c>
      <c r="F5" s="1">
        <v>3</v>
      </c>
    </row>
    <row r="6" spans="1:6" x14ac:dyDescent="0.35">
      <c r="A6" s="1" t="s">
        <v>3</v>
      </c>
      <c r="B6" s="1">
        <v>580</v>
      </c>
      <c r="C6" s="1">
        <v>220</v>
      </c>
      <c r="D6" s="1">
        <v>2</v>
      </c>
      <c r="E6" s="1">
        <v>3</v>
      </c>
      <c r="F6" s="1">
        <v>2</v>
      </c>
    </row>
    <row r="7" spans="1:6" x14ac:dyDescent="0.35">
      <c r="A7" s="1" t="s">
        <v>4</v>
      </c>
      <c r="B7" s="1">
        <v>350</v>
      </c>
      <c r="C7" s="1">
        <v>80</v>
      </c>
      <c r="D7" s="1">
        <v>4</v>
      </c>
      <c r="E7" s="1">
        <v>2</v>
      </c>
      <c r="F7" s="1">
        <v>1</v>
      </c>
    </row>
    <row r="8" spans="1:6" x14ac:dyDescent="0.35">
      <c r="A8" s="1" t="s">
        <v>5</v>
      </c>
      <c r="B8" s="1">
        <v>410</v>
      </c>
      <c r="C8" s="1">
        <v>170</v>
      </c>
      <c r="D8" s="1">
        <v>3</v>
      </c>
      <c r="E8" s="1">
        <v>4</v>
      </c>
      <c r="F8" s="1">
        <v>2</v>
      </c>
    </row>
    <row r="9" spans="1:6" x14ac:dyDescent="0.35">
      <c r="B9" s="8" t="s">
        <v>13</v>
      </c>
      <c r="C9" s="8" t="s">
        <v>14</v>
      </c>
      <c r="D9" s="8" t="s">
        <v>14</v>
      </c>
      <c r="E9" s="8" t="s">
        <v>13</v>
      </c>
      <c r="F9" s="8" t="s">
        <v>14</v>
      </c>
    </row>
    <row r="10" spans="1:6" x14ac:dyDescent="0.35">
      <c r="A10" s="1" t="s">
        <v>15</v>
      </c>
      <c r="B10" s="9">
        <v>0.2</v>
      </c>
      <c r="C10" s="9">
        <v>0.15</v>
      </c>
      <c r="D10" s="9">
        <v>0.3</v>
      </c>
      <c r="E10" s="9">
        <v>0.25</v>
      </c>
      <c r="F10" s="9">
        <v>0.1</v>
      </c>
    </row>
    <row r="12" spans="1:6" x14ac:dyDescent="0.35">
      <c r="A12" s="2" t="s">
        <v>16</v>
      </c>
      <c r="B12" s="2"/>
      <c r="C12" s="2"/>
      <c r="D12" s="2"/>
      <c r="E12" s="2"/>
      <c r="F12" s="2"/>
    </row>
    <row r="13" spans="1:6" x14ac:dyDescent="0.35">
      <c r="A13" s="10" t="s">
        <v>17</v>
      </c>
      <c r="B13" s="10">
        <f>SQRT((B5^2)+(B6^2)+(B7^2)+(B8^2))</f>
        <v>896.32583361186232</v>
      </c>
      <c r="C13" s="10">
        <f t="shared" ref="C13:F13" si="0">SQRT((C5^2)+(C6^2)+(C7^2)+(C8^2))</f>
        <v>298.87288267756912</v>
      </c>
      <c r="D13" s="10">
        <f t="shared" si="0"/>
        <v>6.164414002968976</v>
      </c>
      <c r="E13" s="10">
        <f t="shared" si="0"/>
        <v>5.4772255750516612</v>
      </c>
      <c r="F13" s="10">
        <f t="shared" si="0"/>
        <v>4.2426406871192848</v>
      </c>
    </row>
    <row r="14" spans="1:6" x14ac:dyDescent="0.35">
      <c r="A14" s="3" t="s">
        <v>19</v>
      </c>
      <c r="B14" s="11">
        <f>B5/$B$13</f>
        <v>0.46857959934899457</v>
      </c>
      <c r="C14" s="11">
        <f>C5/$C$13</f>
        <v>0.25094280661424778</v>
      </c>
      <c r="D14" s="11">
        <f>D5/$D$13</f>
        <v>0.48666426339228763</v>
      </c>
      <c r="E14" s="11">
        <f>E5/$E$13</f>
        <v>0.18257418583505536</v>
      </c>
      <c r="F14" s="11">
        <f>F5/$F$13</f>
        <v>0.70710678118654757</v>
      </c>
    </row>
    <row r="15" spans="1:6" x14ac:dyDescent="0.35">
      <c r="A15" s="3"/>
      <c r="B15" s="11">
        <f>B6/$B$13</f>
        <v>0.64708611338670674</v>
      </c>
      <c r="C15" s="11">
        <f>C6/$C$13</f>
        <v>0.73609889940179352</v>
      </c>
      <c r="D15" s="11">
        <f>D6/$D$13</f>
        <v>0.32444284226152509</v>
      </c>
      <c r="E15" s="11">
        <f>E6/$E$13</f>
        <v>0.54772255750516607</v>
      </c>
      <c r="F15" s="11">
        <f>F6/$F$13</f>
        <v>0.47140452079103173</v>
      </c>
    </row>
    <row r="16" spans="1:6" x14ac:dyDescent="0.35">
      <c r="A16" s="3"/>
      <c r="B16" s="11">
        <f>B7/$B$13</f>
        <v>0.39048299945749548</v>
      </c>
      <c r="C16" s="11">
        <f>C7/$C$13</f>
        <v>0.26767232705519767</v>
      </c>
      <c r="D16" s="11">
        <f>D7/$D$13</f>
        <v>0.64888568452305018</v>
      </c>
      <c r="E16" s="11">
        <f>E7/$E$13</f>
        <v>0.36514837167011072</v>
      </c>
      <c r="F16" s="11">
        <f>F7/$F$13</f>
        <v>0.23570226039551587</v>
      </c>
    </row>
    <row r="17" spans="1:6" x14ac:dyDescent="0.35">
      <c r="A17" s="3"/>
      <c r="B17" s="11">
        <f>B8/$B$13</f>
        <v>0.45742294222163754</v>
      </c>
      <c r="C17" s="11">
        <f>C8/$C$13</f>
        <v>0.56880369499229499</v>
      </c>
      <c r="D17" s="11">
        <f>D8/$D$13</f>
        <v>0.48666426339228763</v>
      </c>
      <c r="E17" s="11">
        <f>E8/$E$13</f>
        <v>0.73029674334022143</v>
      </c>
      <c r="F17" s="11">
        <f>F8/$F$13</f>
        <v>0.47140452079103173</v>
      </c>
    </row>
    <row r="19" spans="1:6" x14ac:dyDescent="0.35">
      <c r="A19" s="2" t="s">
        <v>18</v>
      </c>
      <c r="B19" s="2"/>
      <c r="C19" s="2"/>
      <c r="D19" s="2"/>
      <c r="E19" s="2"/>
      <c r="F19" s="2"/>
    </row>
    <row r="20" spans="1:6" x14ac:dyDescent="0.35">
      <c r="A20" s="3" t="s">
        <v>20</v>
      </c>
      <c r="B20" s="12">
        <f>$B$10*B14</f>
        <v>9.3715919869798922E-2</v>
      </c>
      <c r="C20" s="12">
        <f>$C$10*C14</f>
        <v>3.7641420992137166E-2</v>
      </c>
      <c r="D20" s="12">
        <f>$D$10*D14</f>
        <v>0.14599927901768628</v>
      </c>
      <c r="E20" s="12">
        <f>$E$10*E14</f>
        <v>4.564354645876384E-2</v>
      </c>
      <c r="F20" s="12">
        <f>$F$10*F14</f>
        <v>7.0710678118654766E-2</v>
      </c>
    </row>
    <row r="21" spans="1:6" x14ac:dyDescent="0.35">
      <c r="A21" s="3"/>
      <c r="B21" s="12">
        <f t="shared" ref="B21:B23" si="1">$B$10*B15</f>
        <v>0.12941722267734135</v>
      </c>
      <c r="C21" s="12">
        <f t="shared" ref="C21:C23" si="2">$C$10*C15</f>
        <v>0.11041483491026903</v>
      </c>
      <c r="D21" s="12">
        <f t="shared" ref="D21:D23" si="3">$D$10*D15</f>
        <v>9.7332852678457524E-2</v>
      </c>
      <c r="E21" s="12">
        <f t="shared" ref="E21:E23" si="4">$E$10*E15</f>
        <v>0.13693063937629152</v>
      </c>
      <c r="F21" s="12">
        <f t="shared" ref="F21:F23" si="5">$F$10*F15</f>
        <v>4.7140452079103175E-2</v>
      </c>
    </row>
    <row r="22" spans="1:6" x14ac:dyDescent="0.35">
      <c r="A22" s="3"/>
      <c r="B22" s="12">
        <f t="shared" si="1"/>
        <v>7.8096599891499099E-2</v>
      </c>
      <c r="C22" s="12">
        <f t="shared" si="2"/>
        <v>4.0150849058279647E-2</v>
      </c>
      <c r="D22" s="12">
        <f t="shared" si="3"/>
        <v>0.19466570535691505</v>
      </c>
      <c r="E22" s="12">
        <f t="shared" si="4"/>
        <v>9.1287092917527679E-2</v>
      </c>
      <c r="F22" s="12">
        <f t="shared" si="5"/>
        <v>2.3570226039551587E-2</v>
      </c>
    </row>
    <row r="23" spans="1:6" x14ac:dyDescent="0.35">
      <c r="A23" s="3"/>
      <c r="B23" s="12">
        <f t="shared" si="1"/>
        <v>9.1484588444327511E-2</v>
      </c>
      <c r="C23" s="12">
        <f t="shared" si="2"/>
        <v>8.5320554248844244E-2</v>
      </c>
      <c r="D23" s="12">
        <f t="shared" si="3"/>
        <v>0.14599927901768628</v>
      </c>
      <c r="E23" s="12">
        <f t="shared" si="4"/>
        <v>0.18257418583505536</v>
      </c>
      <c r="F23" s="12">
        <f t="shared" si="5"/>
        <v>4.7140452079103175E-2</v>
      </c>
    </row>
    <row r="24" spans="1:6" x14ac:dyDescent="0.35">
      <c r="A24" t="s">
        <v>21</v>
      </c>
    </row>
    <row r="25" spans="1:6" x14ac:dyDescent="0.35">
      <c r="A25" s="13" t="s">
        <v>22</v>
      </c>
      <c r="B25" s="7">
        <f>IF(B9="BENEFIT",MAX(B20:B23),MIN(B20:B23))</f>
        <v>7.8096599891499099E-2</v>
      </c>
      <c r="C25" s="7">
        <f t="shared" ref="C25:F25" si="6">IF(C9="BENEFIT",MAX(C20:C23),MIN(C20:C23))</f>
        <v>0.11041483491026903</v>
      </c>
      <c r="D25" s="7">
        <f t="shared" si="6"/>
        <v>0.19466570535691505</v>
      </c>
      <c r="E25" s="7">
        <f t="shared" si="6"/>
        <v>4.564354645876384E-2</v>
      </c>
      <c r="F25" s="7">
        <f t="shared" si="6"/>
        <v>7.0710678118654766E-2</v>
      </c>
    </row>
    <row r="26" spans="1:6" x14ac:dyDescent="0.35">
      <c r="A26" t="s">
        <v>23</v>
      </c>
    </row>
    <row r="27" spans="1:6" x14ac:dyDescent="0.35">
      <c r="A27" s="13" t="s">
        <v>24</v>
      </c>
      <c r="B27" s="14">
        <f>IF(B9="COST",MAX(B20:B23),MIN(B20:B23))</f>
        <v>0.12941722267734135</v>
      </c>
      <c r="C27" s="14">
        <f t="shared" ref="C27:F27" si="7">IF(C9="COST",MAX(C20:C23),MIN(C20:C23))</f>
        <v>3.7641420992137166E-2</v>
      </c>
      <c r="D27" s="14">
        <f t="shared" si="7"/>
        <v>9.7332852678457524E-2</v>
      </c>
      <c r="E27" s="14">
        <f t="shared" si="7"/>
        <v>0.18257418583505536</v>
      </c>
      <c r="F27" s="14">
        <f t="shared" si="7"/>
        <v>2.3570226039551587E-2</v>
      </c>
    </row>
    <row r="29" spans="1:6" x14ac:dyDescent="0.35">
      <c r="A29" s="2" t="s">
        <v>25</v>
      </c>
      <c r="B29" s="2"/>
      <c r="C29" s="2"/>
      <c r="D29" s="2"/>
      <c r="E29" s="2"/>
      <c r="F29" s="2"/>
    </row>
    <row r="30" spans="1:6" x14ac:dyDescent="0.35">
      <c r="A30" s="2"/>
      <c r="B30" s="15" t="s">
        <v>26</v>
      </c>
      <c r="C30" s="15">
        <f>SQRT((($B$25-B20)^2)+(($C$25-C20)^2)+(($D$25-D20)^2)+(($E$25-E20)^2)+(($F$25-F20)^2))</f>
        <v>8.892892657912746E-2</v>
      </c>
      <c r="D30" s="16" t="s">
        <v>30</v>
      </c>
      <c r="E30" s="16">
        <f>SQRT(((B20-$B$27)^2)+((C20-$C$27)^2)+((D20-$D$27)^2)+((E20-$E$27)^2)+((F20-$F$27)^2))</f>
        <v>0.15689240356693385</v>
      </c>
    </row>
    <row r="31" spans="1:6" x14ac:dyDescent="0.35">
      <c r="A31" s="2"/>
      <c r="B31" s="15" t="s">
        <v>27</v>
      </c>
      <c r="C31" s="15">
        <f t="shared" ref="C31:C33" si="8">SQRT((($B$25-B21)^2)+(($C$25-C21)^2)+(($D$25-D21)^2)+(($E$25-E21)^2)+(($F$25-F21)^2))</f>
        <v>0.14490127474436487</v>
      </c>
      <c r="D31" s="16" t="s">
        <v>31</v>
      </c>
      <c r="E31" s="16">
        <f t="shared" ref="E31:E33" si="9">SQRT(((B21-$B$27)^2)+((C21-$C$27)^2)+((D21-$D$27)^2)+((E21-$E$27)^2)+((F21-$F$27)^2))</f>
        <v>8.9077823627368879E-2</v>
      </c>
    </row>
    <row r="32" spans="1:6" x14ac:dyDescent="0.35">
      <c r="A32" s="2"/>
      <c r="B32" s="15" t="s">
        <v>28</v>
      </c>
      <c r="C32" s="15">
        <f t="shared" si="8"/>
        <v>9.6138354798509643E-2</v>
      </c>
      <c r="D32" s="16" t="s">
        <v>32</v>
      </c>
      <c r="E32" s="16">
        <f t="shared" si="9"/>
        <v>0.14299343025539846</v>
      </c>
    </row>
    <row r="33" spans="1:5" x14ac:dyDescent="0.35">
      <c r="A33" s="2"/>
      <c r="B33" s="15" t="s">
        <v>29</v>
      </c>
      <c r="C33" s="15">
        <f t="shared" si="8"/>
        <v>0.14994311510566985</v>
      </c>
      <c r="D33" s="16" t="s">
        <v>33</v>
      </c>
      <c r="E33" s="16">
        <f t="shared" si="9"/>
        <v>8.1462636196931282E-2</v>
      </c>
    </row>
    <row r="35" spans="1:5" x14ac:dyDescent="0.35">
      <c r="A35" s="6" t="s">
        <v>34</v>
      </c>
      <c r="B35" s="6"/>
      <c r="C35" s="6"/>
      <c r="D35" s="6"/>
      <c r="E35" s="6"/>
    </row>
    <row r="36" spans="1:5" x14ac:dyDescent="0.35">
      <c r="B36" s="7" t="s">
        <v>35</v>
      </c>
      <c r="C36" s="7">
        <f>E30/(E30+C30)</f>
        <v>0.63823755031230223</v>
      </c>
      <c r="D36" s="17">
        <f>RANK(C36,$C$36:$C$39,0)</f>
        <v>1</v>
      </c>
    </row>
    <row r="37" spans="1:5" x14ac:dyDescent="0.35">
      <c r="B37" s="7" t="s">
        <v>36</v>
      </c>
      <c r="C37" s="7">
        <f t="shared" ref="C37:C39" si="10">E31/(E31+C31)</f>
        <v>0.38070846604360659</v>
      </c>
      <c r="D37" s="17">
        <f t="shared" ref="D37:D39" si="11">RANK(C37,$C$36:$C$39,0)</f>
        <v>3</v>
      </c>
    </row>
    <row r="38" spans="1:5" x14ac:dyDescent="0.35">
      <c r="B38" s="7" t="s">
        <v>37</v>
      </c>
      <c r="C38" s="7">
        <f t="shared" si="10"/>
        <v>0.59796915003650841</v>
      </c>
      <c r="D38" s="17">
        <f t="shared" si="11"/>
        <v>2</v>
      </c>
    </row>
    <row r="39" spans="1:5" x14ac:dyDescent="0.35">
      <c r="B39" s="7" t="s">
        <v>38</v>
      </c>
      <c r="C39" s="7">
        <f t="shared" si="10"/>
        <v>0.35203375775395257</v>
      </c>
      <c r="D39" s="17">
        <f t="shared" si="11"/>
        <v>4</v>
      </c>
    </row>
  </sheetData>
  <mergeCells count="8">
    <mergeCell ref="A29:F29"/>
    <mergeCell ref="A30:A33"/>
    <mergeCell ref="A19:F19"/>
    <mergeCell ref="A1:F1"/>
    <mergeCell ref="B3:F3"/>
    <mergeCell ref="A12:F12"/>
    <mergeCell ref="A14:A17"/>
    <mergeCell ref="A20:A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39AC-83F1-420C-8D8A-9430AC631CDB}">
  <dimension ref="A1:F54"/>
  <sheetViews>
    <sheetView tabSelected="1" topLeftCell="A34" workbookViewId="0">
      <selection activeCell="H46" sqref="H46"/>
    </sheetView>
  </sheetViews>
  <sheetFormatPr defaultRowHeight="14.5" x14ac:dyDescent="0.35"/>
  <cols>
    <col min="1" max="1" width="13" customWidth="1"/>
  </cols>
  <sheetData>
    <row r="1" spans="1:6" x14ac:dyDescent="0.35">
      <c r="A1" s="5" t="s">
        <v>0</v>
      </c>
      <c r="B1" s="5"/>
      <c r="C1" s="5"/>
      <c r="D1" s="5"/>
      <c r="E1" s="5"/>
      <c r="F1" s="5"/>
    </row>
    <row r="3" spans="1:6" x14ac:dyDescent="0.35">
      <c r="A3" s="4" t="s">
        <v>1</v>
      </c>
      <c r="B3" s="2" t="s">
        <v>11</v>
      </c>
      <c r="C3" s="2"/>
      <c r="D3" s="2"/>
      <c r="E3" s="2"/>
      <c r="F3" s="2"/>
    </row>
    <row r="4" spans="1:6" x14ac:dyDescent="0.35">
      <c r="A4" s="4"/>
      <c r="B4" s="1" t="s">
        <v>7</v>
      </c>
      <c r="C4" s="1" t="s">
        <v>8</v>
      </c>
      <c r="D4" s="1" t="s">
        <v>9</v>
      </c>
      <c r="E4" s="1" t="s">
        <v>10</v>
      </c>
      <c r="F4" s="1"/>
    </row>
    <row r="5" spans="1:6" x14ac:dyDescent="0.35">
      <c r="A5" s="1" t="s">
        <v>2</v>
      </c>
      <c r="B5" s="1">
        <v>1285.4100000000001</v>
      </c>
      <c r="C5" s="1">
        <v>3.66</v>
      </c>
      <c r="D5" s="1">
        <v>4.5999999999999996</v>
      </c>
      <c r="E5" s="1">
        <v>3.9</v>
      </c>
      <c r="F5" s="1"/>
    </row>
    <row r="6" spans="1:6" x14ac:dyDescent="0.35">
      <c r="A6" s="1" t="s">
        <v>3</v>
      </c>
      <c r="B6" s="1">
        <v>1508.28</v>
      </c>
      <c r="C6" s="1">
        <v>1.96</v>
      </c>
      <c r="D6" s="1">
        <v>7.09</v>
      </c>
      <c r="E6" s="1">
        <v>4.29</v>
      </c>
      <c r="F6" s="1"/>
    </row>
    <row r="7" spans="1:6" x14ac:dyDescent="0.35">
      <c r="A7" s="1" t="s">
        <v>4</v>
      </c>
      <c r="B7" s="1">
        <v>1909.18</v>
      </c>
      <c r="C7">
        <v>2.79</v>
      </c>
      <c r="D7">
        <v>12.78</v>
      </c>
      <c r="E7">
        <v>3.79</v>
      </c>
      <c r="F7" s="1"/>
    </row>
    <row r="8" spans="1:6" x14ac:dyDescent="0.35">
      <c r="A8" s="1" t="s">
        <v>5</v>
      </c>
      <c r="B8">
        <v>1453.65</v>
      </c>
      <c r="C8">
        <v>3.41</v>
      </c>
      <c r="D8">
        <v>14.18</v>
      </c>
      <c r="E8">
        <v>3.89</v>
      </c>
      <c r="F8" s="1"/>
    </row>
    <row r="9" spans="1:6" x14ac:dyDescent="0.35">
      <c r="A9" s="1" t="s">
        <v>6</v>
      </c>
      <c r="B9">
        <v>1610.54</v>
      </c>
      <c r="C9">
        <v>2.11</v>
      </c>
      <c r="D9">
        <v>2.5</v>
      </c>
      <c r="E9">
        <v>4.42</v>
      </c>
    </row>
    <row r="10" spans="1:6" x14ac:dyDescent="0.35">
      <c r="A10" s="1" t="s">
        <v>39</v>
      </c>
      <c r="B10">
        <v>910.73</v>
      </c>
      <c r="C10">
        <v>2.98</v>
      </c>
      <c r="D10">
        <v>5.0599999999999996</v>
      </c>
      <c r="E10">
        <v>3.83</v>
      </c>
    </row>
    <row r="11" spans="1:6" x14ac:dyDescent="0.35">
      <c r="A11" s="1" t="s">
        <v>40</v>
      </c>
      <c r="B11">
        <v>944.93</v>
      </c>
      <c r="C11">
        <v>3.95</v>
      </c>
      <c r="D11">
        <v>13.91</v>
      </c>
      <c r="E11">
        <v>3.57</v>
      </c>
    </row>
    <row r="12" spans="1:6" x14ac:dyDescent="0.35">
      <c r="A12" s="1" t="s">
        <v>41</v>
      </c>
      <c r="B12">
        <v>1241.5</v>
      </c>
      <c r="C12">
        <v>1.58</v>
      </c>
      <c r="D12">
        <v>12.83</v>
      </c>
      <c r="E12">
        <v>4.46</v>
      </c>
    </row>
    <row r="13" spans="1:6" x14ac:dyDescent="0.35">
      <c r="A13" s="1" t="s">
        <v>42</v>
      </c>
      <c r="B13">
        <v>1069.68</v>
      </c>
      <c r="C13">
        <v>2.86</v>
      </c>
      <c r="D13">
        <v>2.85</v>
      </c>
      <c r="E13">
        <v>4.76</v>
      </c>
    </row>
    <row r="14" spans="1:6" x14ac:dyDescent="0.35">
      <c r="A14" s="1" t="s">
        <v>43</v>
      </c>
      <c r="B14">
        <v>1153.46</v>
      </c>
      <c r="C14">
        <v>3.75</v>
      </c>
      <c r="D14">
        <v>14.41</v>
      </c>
      <c r="E14">
        <v>3.78</v>
      </c>
    </row>
    <row r="15" spans="1:6" x14ac:dyDescent="0.35">
      <c r="A15" s="1" t="s">
        <v>44</v>
      </c>
      <c r="B15">
        <v>1426.49</v>
      </c>
      <c r="C15">
        <v>3.9</v>
      </c>
      <c r="D15">
        <v>5.29</v>
      </c>
      <c r="E15">
        <v>3.71</v>
      </c>
    </row>
    <row r="16" spans="1:6" x14ac:dyDescent="0.35">
      <c r="A16" s="1" t="s">
        <v>45</v>
      </c>
      <c r="B16">
        <v>1482.94</v>
      </c>
      <c r="C16">
        <v>1.79</v>
      </c>
      <c r="D16">
        <v>12.96</v>
      </c>
      <c r="E16">
        <v>3.66</v>
      </c>
    </row>
    <row r="17" spans="1:6" x14ac:dyDescent="0.35">
      <c r="A17" s="1" t="s">
        <v>46</v>
      </c>
      <c r="B17">
        <v>922.79</v>
      </c>
      <c r="C17">
        <v>3.94</v>
      </c>
      <c r="D17">
        <v>10.8</v>
      </c>
      <c r="E17">
        <v>4.28</v>
      </c>
    </row>
    <row r="18" spans="1:6" x14ac:dyDescent="0.35">
      <c r="A18" s="1" t="s">
        <v>47</v>
      </c>
      <c r="B18">
        <v>872.98</v>
      </c>
      <c r="C18">
        <v>3.44</v>
      </c>
      <c r="D18">
        <v>7.4</v>
      </c>
      <c r="E18">
        <v>3.53</v>
      </c>
    </row>
    <row r="19" spans="1:6" x14ac:dyDescent="0.35">
      <c r="A19" s="1" t="s">
        <v>48</v>
      </c>
      <c r="B19">
        <v>1782.99</v>
      </c>
      <c r="C19">
        <v>4.68</v>
      </c>
      <c r="D19">
        <v>12.43</v>
      </c>
      <c r="E19">
        <v>3.53</v>
      </c>
    </row>
    <row r="20" spans="1:6" x14ac:dyDescent="0.35">
      <c r="A20" s="1" t="s">
        <v>49</v>
      </c>
      <c r="B20">
        <v>1106.95</v>
      </c>
      <c r="C20">
        <v>2.41</v>
      </c>
      <c r="D20">
        <v>11.21</v>
      </c>
      <c r="E20">
        <v>4.1100000000000003</v>
      </c>
    </row>
    <row r="21" spans="1:6" x14ac:dyDescent="0.35">
      <c r="A21" s="1" t="s">
        <v>50</v>
      </c>
      <c r="B21">
        <v>1667.53</v>
      </c>
      <c r="C21">
        <v>4.87</v>
      </c>
      <c r="D21">
        <v>3.42</v>
      </c>
      <c r="E21">
        <v>3.62</v>
      </c>
    </row>
    <row r="22" spans="1:6" x14ac:dyDescent="0.35">
      <c r="A22" s="1" t="s">
        <v>51</v>
      </c>
      <c r="B22">
        <v>1972.65</v>
      </c>
      <c r="C22">
        <v>4.1500000000000004</v>
      </c>
      <c r="D22">
        <v>3.7</v>
      </c>
      <c r="E22">
        <v>4.7300000000000004</v>
      </c>
    </row>
    <row r="24" spans="1:6" x14ac:dyDescent="0.35">
      <c r="B24" s="8" t="s">
        <v>14</v>
      </c>
      <c r="C24" s="8" t="s">
        <v>13</v>
      </c>
      <c r="D24" s="8" t="s">
        <v>13</v>
      </c>
      <c r="E24" s="8" t="s">
        <v>14</v>
      </c>
      <c r="F24" s="18"/>
    </row>
    <row r="25" spans="1:6" x14ac:dyDescent="0.35">
      <c r="A25" s="1" t="s">
        <v>15</v>
      </c>
      <c r="B25" s="9">
        <v>0.3</v>
      </c>
      <c r="C25" s="9">
        <v>0.2</v>
      </c>
      <c r="D25" s="9">
        <v>0.2</v>
      </c>
      <c r="E25" s="9">
        <v>0.3</v>
      </c>
      <c r="F25" s="18"/>
    </row>
    <row r="27" spans="1:6" x14ac:dyDescent="0.35">
      <c r="A27" s="1" t="s">
        <v>16</v>
      </c>
      <c r="B27" s="1"/>
      <c r="C27" s="1"/>
      <c r="D27" s="1"/>
      <c r="E27" s="1"/>
      <c r="F27" s="1"/>
    </row>
    <row r="28" spans="1:6" x14ac:dyDescent="0.35">
      <c r="A28" s="10" t="s">
        <v>17</v>
      </c>
      <c r="B28" s="10">
        <f>SQRT((B5^2)+(B6^2)+(B7^2)+(B8^2))</f>
        <v>3112.1140758976044</v>
      </c>
      <c r="C28" s="10">
        <f>SQRT((C5^2)+(C6^2)+(C7^2)+(C8^2))</f>
        <v>6.0538747922301805</v>
      </c>
      <c r="D28" s="10">
        <f>SQRT((D5^2)+(D6^2)+(D7^2)+(D8^2))</f>
        <v>20.876515513849526</v>
      </c>
      <c r="E28" s="10">
        <f>SQRT((E5^2)+(E6^2)+(E7^2)+(E8^2))</f>
        <v>7.9441991415120006</v>
      </c>
      <c r="F28" s="19"/>
    </row>
    <row r="29" spans="1:6" x14ac:dyDescent="0.35">
      <c r="A29" s="4" t="s">
        <v>19</v>
      </c>
      <c r="B29" s="11">
        <f>B5/$B$28</f>
        <v>0.41303434535228556</v>
      </c>
      <c r="C29" s="11">
        <f>C5/$C$28</f>
        <v>0.60457147291804103</v>
      </c>
      <c r="D29" s="11">
        <f>D5/$D$28</f>
        <v>0.22034328463235878</v>
      </c>
      <c r="E29" s="11">
        <f>E5/$E$28</f>
        <v>0.49092424932058315</v>
      </c>
      <c r="F29" s="19"/>
    </row>
    <row r="30" spans="1:6" x14ac:dyDescent="0.35">
      <c r="A30" s="4"/>
      <c r="B30" s="11">
        <f>B6/$B$28</f>
        <v>0.48464804413217977</v>
      </c>
      <c r="C30" s="11">
        <f>C6/$C$28</f>
        <v>0.32375958658998921</v>
      </c>
      <c r="D30" s="11">
        <f>D6/$D$28</f>
        <v>0.33961606261813559</v>
      </c>
      <c r="E30" s="11">
        <f>E6/$E$28</f>
        <v>0.54001667425264144</v>
      </c>
      <c r="F30" s="19"/>
    </row>
    <row r="31" spans="1:6" x14ac:dyDescent="0.35">
      <c r="A31" s="4"/>
      <c r="B31" s="11">
        <f>B7/$B$28</f>
        <v>0.61346722949072785</v>
      </c>
      <c r="C31" s="11">
        <f>C7/$C$28</f>
        <v>0.46086186050309685</v>
      </c>
      <c r="D31" s="11">
        <f>D7/$D$28</f>
        <v>0.61217112556555331</v>
      </c>
      <c r="E31" s="11">
        <f>E7/$E$28</f>
        <v>0.4770776679294898</v>
      </c>
      <c r="F31" s="19"/>
    </row>
    <row r="32" spans="1:6" x14ac:dyDescent="0.35">
      <c r="A32" s="4"/>
      <c r="B32" s="11">
        <f>B8/$B$28</f>
        <v>0.46709406035533402</v>
      </c>
      <c r="C32" s="11">
        <f>C8/$C$28</f>
        <v>0.5632756072815629</v>
      </c>
      <c r="D32" s="11">
        <f>D8/$D$28</f>
        <v>0.67923212523627119</v>
      </c>
      <c r="E32" s="11">
        <f>E8/$E$28</f>
        <v>0.48966546919412013</v>
      </c>
      <c r="F32" s="19"/>
    </row>
    <row r="33" spans="1:6" x14ac:dyDescent="0.35">
      <c r="F33" s="19"/>
    </row>
    <row r="34" spans="1:6" x14ac:dyDescent="0.35">
      <c r="A34" s="1" t="s">
        <v>18</v>
      </c>
      <c r="B34" s="1"/>
      <c r="C34" s="1"/>
      <c r="D34" s="1"/>
      <c r="E34" s="1"/>
      <c r="F34" s="18"/>
    </row>
    <row r="35" spans="1:6" x14ac:dyDescent="0.35">
      <c r="A35" s="4" t="s">
        <v>20</v>
      </c>
      <c r="B35" s="12">
        <f>$B$25*B29</f>
        <v>0.12391030360568567</v>
      </c>
      <c r="C35" s="12">
        <f>$C$25*C29</f>
        <v>0.12091429458360821</v>
      </c>
      <c r="D35" s="12">
        <f>$D$25*D29</f>
        <v>4.4068656926471758E-2</v>
      </c>
      <c r="E35" s="12">
        <f>$E$25*E29</f>
        <v>0.14727727479617495</v>
      </c>
      <c r="F35" s="19"/>
    </row>
    <row r="36" spans="1:6" x14ac:dyDescent="0.35">
      <c r="A36" s="4"/>
      <c r="B36" s="12">
        <f>$B$25*B30</f>
        <v>0.14539441323965394</v>
      </c>
      <c r="C36" s="12">
        <f>$C$25*C30</f>
        <v>6.4751917317997842E-2</v>
      </c>
      <c r="D36" s="12">
        <f>$D$25*D30</f>
        <v>6.7923212523627124E-2</v>
      </c>
      <c r="E36" s="12">
        <f>$E$25*E30</f>
        <v>0.16200500227579243</v>
      </c>
      <c r="F36" s="19"/>
    </row>
    <row r="37" spans="1:6" x14ac:dyDescent="0.35">
      <c r="A37" s="4"/>
      <c r="B37" s="12">
        <f>$B$25*B31</f>
        <v>0.18404016884721836</v>
      </c>
      <c r="C37" s="12">
        <f>$C$25*C31</f>
        <v>9.2172372100619376E-2</v>
      </c>
      <c r="D37" s="12">
        <f>$D$25*D31</f>
        <v>0.12243422511311067</v>
      </c>
      <c r="E37" s="12">
        <f>$E$25*E31</f>
        <v>0.14312330037884693</v>
      </c>
      <c r="F37" s="19"/>
    </row>
    <row r="38" spans="1:6" x14ac:dyDescent="0.35">
      <c r="A38" s="4"/>
      <c r="B38" s="12">
        <f>$B$25*B32</f>
        <v>0.1401282181066002</v>
      </c>
      <c r="C38" s="12">
        <f>$C$25*C32</f>
        <v>0.11265512145631258</v>
      </c>
      <c r="D38" s="12">
        <f>$D$25*D32</f>
        <v>0.13584642504725425</v>
      </c>
      <c r="E38" s="12">
        <f>$E$25*E32</f>
        <v>0.14689964075823603</v>
      </c>
      <c r="F38" s="19"/>
    </row>
    <row r="39" spans="1:6" x14ac:dyDescent="0.35">
      <c r="A39" t="s">
        <v>21</v>
      </c>
      <c r="F39" s="19"/>
    </row>
    <row r="40" spans="1:6" x14ac:dyDescent="0.35">
      <c r="A40" s="13" t="s">
        <v>22</v>
      </c>
      <c r="B40" s="7">
        <f>IF(B24="BENEFIT",MAX(B35:B38),MIN(B35:B38))</f>
        <v>0.18404016884721836</v>
      </c>
      <c r="C40" s="7">
        <f t="shared" ref="C40:E40" si="0">IF(C24="BENEFIT",MAX(C35:C38),MIN(C35:C38))</f>
        <v>6.4751917317997842E-2</v>
      </c>
      <c r="D40" s="7">
        <f t="shared" si="0"/>
        <v>4.4068656926471758E-2</v>
      </c>
      <c r="E40" s="7">
        <f t="shared" si="0"/>
        <v>0.16200500227579243</v>
      </c>
      <c r="F40" s="19"/>
    </row>
    <row r="41" spans="1:6" x14ac:dyDescent="0.35">
      <c r="A41" t="s">
        <v>23</v>
      </c>
      <c r="F41" s="19"/>
    </row>
    <row r="42" spans="1:6" x14ac:dyDescent="0.35">
      <c r="A42" s="13" t="s">
        <v>24</v>
      </c>
      <c r="B42" s="14">
        <f>IF(B24="COST",MAX(B35:B38),MIN(B35:B38))</f>
        <v>0.12391030360568567</v>
      </c>
      <c r="C42" s="14">
        <f t="shared" ref="C42:E42" si="1">IF(C24="COST",MAX(C35:C38),MIN(C35:C38))</f>
        <v>0.12091429458360821</v>
      </c>
      <c r="D42" s="14">
        <f t="shared" si="1"/>
        <v>0.13584642504725425</v>
      </c>
      <c r="E42" s="14">
        <f t="shared" si="1"/>
        <v>0.14312330037884693</v>
      </c>
      <c r="F42" s="19"/>
    </row>
    <row r="44" spans="1:6" x14ac:dyDescent="0.35">
      <c r="A44" s="2" t="s">
        <v>25</v>
      </c>
      <c r="B44" s="2"/>
      <c r="C44" s="2"/>
      <c r="D44" s="2"/>
      <c r="E44" s="2"/>
      <c r="F44" s="2"/>
    </row>
    <row r="45" spans="1:6" x14ac:dyDescent="0.35">
      <c r="A45" s="2"/>
      <c r="B45" s="15" t="s">
        <v>26</v>
      </c>
      <c r="C45" s="15">
        <f>SQRT((($B$40-B35)^2)+(($C$40-C35)^2)+(($D$40-D35)^2)+(($E$40-E35)^2)+(($F$40-F35)^2))</f>
        <v>8.3586597435255788E-2</v>
      </c>
      <c r="D45" s="16" t="s">
        <v>30</v>
      </c>
      <c r="E45" s="16">
        <f>SQRT(((B35-$B$42)^2)+((C35-$C$42)^2)+((D35-$D$42)^2)+((E35-$E$42)^2)+((F35-$F$42)^2))</f>
        <v>9.1871727014854437E-2</v>
      </c>
    </row>
    <row r="46" spans="1:6" x14ac:dyDescent="0.35">
      <c r="A46" s="2"/>
      <c r="B46" s="15" t="s">
        <v>27</v>
      </c>
      <c r="C46" s="15">
        <f>SQRT((($B$40-B36)^2)+(($C$40-C36)^2)+(($D$40-D36)^2)+(($E$40-E36)^2)+(($F$40-F36)^2))</f>
        <v>4.5415132381370127E-2</v>
      </c>
      <c r="D46" s="16" t="s">
        <v>31</v>
      </c>
      <c r="E46" s="16">
        <f>SQRT(((B36-$B$42)^2)+((C36-$C$42)^2)+((D36-$D$42)^2)+((E36-$E$42)^2)+((F36-$F$42)^2))</f>
        <v>9.265992150301039E-2</v>
      </c>
    </row>
    <row r="47" spans="1:6" x14ac:dyDescent="0.35">
      <c r="A47" s="2"/>
      <c r="B47" s="15" t="s">
        <v>28</v>
      </c>
      <c r="C47" s="15">
        <f>SQRT((($B$40-B37)^2)+(($C$40-C37)^2)+(($D$40-D37)^2)+(($E$40-E37)^2)+(($F$40-F37)^2))</f>
        <v>8.5144361435303864E-2</v>
      </c>
      <c r="D47" s="16" t="s">
        <v>32</v>
      </c>
      <c r="E47" s="16">
        <f>SQRT(((B37-$B$42)^2)+((C37-$C$42)^2)+((D37-$D$42)^2)+((E37-$E$42)^2)+((F37-$F$42)^2))</f>
        <v>6.7982247013881947E-2</v>
      </c>
    </row>
    <row r="48" spans="1:6" x14ac:dyDescent="0.35">
      <c r="A48" s="2"/>
      <c r="B48" s="15" t="s">
        <v>29</v>
      </c>
      <c r="C48" s="15">
        <f>SQRT((($B$40-B38)^2)+(($C$40-C38)^2)+(($D$40-D38)^2)+(($E$40-E38)^2)+(($F$40-F38)^2))</f>
        <v>0.11346500364593359</v>
      </c>
      <c r="D48" s="16" t="s">
        <v>33</v>
      </c>
      <c r="E48" s="16">
        <f>SQRT(((B38-$B$42)^2)+((C38-$C$42)^2)+((D38-$D$42)^2)+((E38-$E$42)^2)+((F38-$F$42)^2))</f>
        <v>1.8587507583498673E-2</v>
      </c>
    </row>
    <row r="50" spans="1:5" x14ac:dyDescent="0.35">
      <c r="A50" s="6" t="s">
        <v>34</v>
      </c>
      <c r="B50" s="6"/>
      <c r="C50" s="6"/>
      <c r="D50" s="6"/>
      <c r="E50" s="6"/>
    </row>
    <row r="51" spans="1:5" x14ac:dyDescent="0.35">
      <c r="B51" s="7" t="s">
        <v>35</v>
      </c>
      <c r="C51" s="7">
        <f>E45/(E45+C45)</f>
        <v>0.52360996437633955</v>
      </c>
      <c r="D51" s="17">
        <f>RANK(C51,$C$51:$C$54,0)</f>
        <v>2</v>
      </c>
    </row>
    <row r="52" spans="1:5" x14ac:dyDescent="0.35">
      <c r="B52" s="7" t="s">
        <v>36</v>
      </c>
      <c r="C52" s="7">
        <f t="shared" ref="C52:C54" si="2">E46/(E46+C46)</f>
        <v>0.6710837250920122</v>
      </c>
      <c r="D52" s="17">
        <f>RANK(C52,$C$51:$C$54,0)</f>
        <v>1</v>
      </c>
    </row>
    <row r="53" spans="1:5" x14ac:dyDescent="0.35">
      <c r="B53" s="7" t="s">
        <v>37</v>
      </c>
      <c r="C53" s="7">
        <f t="shared" si="2"/>
        <v>0.44396103134773912</v>
      </c>
      <c r="D53" s="17">
        <f>RANK(C53,$C$51:$C$54,0)</f>
        <v>3</v>
      </c>
    </row>
    <row r="54" spans="1:5" x14ac:dyDescent="0.35">
      <c r="B54" s="7" t="s">
        <v>38</v>
      </c>
      <c r="C54" s="7">
        <f t="shared" si="2"/>
        <v>0.14075845593882075</v>
      </c>
      <c r="D54" s="17">
        <f>RANK(C54,$C$51:$C$54,0)</f>
        <v>4</v>
      </c>
    </row>
  </sheetData>
  <mergeCells count="4">
    <mergeCell ref="A44:F44"/>
    <mergeCell ref="A45:A48"/>
    <mergeCell ref="A1:F1"/>
    <mergeCell ref="B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2025-08-02T16:42:23Z</dcterms:created>
  <dcterms:modified xsi:type="dcterms:W3CDTF">2025-08-02T17:57:56Z</dcterms:modified>
</cp:coreProperties>
</file>